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bimalsaran/Downloads/"/>
    </mc:Choice>
  </mc:AlternateContent>
  <xr:revisionPtr revIDLastSave="0" documentId="13_ncr:1_{14A5F999-B4D3-7046-832D-FFA8C214D938}" xr6:coauthVersionLast="46" xr6:coauthVersionMax="46" xr10:uidLastSave="{00000000-0000-0000-0000-000000000000}"/>
  <bookViews>
    <workbookView xWindow="440" yWindow="520" windowWidth="25240" windowHeight="16000" tabRatio="500" activeTab="2" xr2:uid="{00000000-000D-0000-FFFF-FFFF00000000}"/>
  </bookViews>
  <sheets>
    <sheet name="Raw_Data" sheetId="1" r:id="rId1"/>
    <sheet name="Calculations" sheetId="2" r:id="rId2"/>
    <sheet name="Dashboard" sheetId="3" r:id="rId3"/>
    <sheet name="Read_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9" i="3" l="1"/>
  <c r="D17" i="2"/>
  <c r="C17" i="2"/>
  <c r="B17" i="2"/>
  <c r="E16" i="2"/>
  <c r="D16" i="2"/>
  <c r="C16" i="2"/>
  <c r="B16" i="2"/>
  <c r="D15" i="2"/>
  <c r="C15" i="2"/>
  <c r="B15" i="2"/>
  <c r="B5" i="2"/>
  <c r="N7" i="3" s="1"/>
  <c r="B4" i="2"/>
  <c r="N13" i="3" s="1"/>
  <c r="B3" i="2"/>
  <c r="B7" i="3" s="1"/>
  <c r="B2" i="2"/>
  <c r="F7" i="3" s="1"/>
  <c r="M16" i="1"/>
  <c r="L16" i="1"/>
  <c r="K16" i="1"/>
  <c r="J16" i="1"/>
  <c r="I16" i="1"/>
  <c r="M15" i="1"/>
  <c r="L15" i="1"/>
  <c r="K15" i="1"/>
  <c r="J15" i="1"/>
  <c r="I15" i="1"/>
  <c r="M14" i="1"/>
  <c r="L14" i="1"/>
  <c r="K14" i="1"/>
  <c r="J14" i="1"/>
  <c r="I14" i="1"/>
  <c r="M13" i="1"/>
  <c r="L13" i="1"/>
  <c r="K13" i="1"/>
  <c r="J13" i="1"/>
  <c r="I13" i="1"/>
  <c r="M12" i="1"/>
  <c r="L12" i="1"/>
  <c r="E17" i="2" s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B8" i="2" s="1"/>
  <c r="J13" i="3" s="1"/>
  <c r="J3" i="1"/>
  <c r="B7" i="2" s="1"/>
  <c r="F13" i="3" s="1"/>
  <c r="I3" i="1"/>
  <c r="B6" i="2" s="1"/>
  <c r="B13" i="3" s="1"/>
  <c r="M2" i="1"/>
  <c r="L2" i="1"/>
  <c r="B9" i="2" s="1"/>
  <c r="J7" i="3" s="1"/>
  <c r="K2" i="1"/>
  <c r="J2" i="1"/>
  <c r="I2" i="1"/>
  <c r="B10" i="2" l="1"/>
  <c r="B11" i="2"/>
  <c r="B59" i="3" s="1"/>
  <c r="E15" i="2"/>
</calcChain>
</file>

<file path=xl/sharedStrings.xml><?xml version="1.0" encoding="utf-8"?>
<sst xmlns="http://schemas.openxmlformats.org/spreadsheetml/2006/main" count="121" uniqueCount="97">
  <si>
    <t>Influencer</t>
  </si>
  <si>
    <t>Platform</t>
  </si>
  <si>
    <t>Followers</t>
  </si>
  <si>
    <t>Engagement_Rate</t>
  </si>
  <si>
    <t>Cost</t>
  </si>
  <si>
    <t>Clicks</t>
  </si>
  <si>
    <t>Conversions</t>
  </si>
  <si>
    <t>Revenue</t>
  </si>
  <si>
    <t>CTR</t>
  </si>
  <si>
    <t>Conversion_Rate</t>
  </si>
  <si>
    <t>CAC</t>
  </si>
  <si>
    <t>ROAS</t>
  </si>
  <si>
    <t>ROI_Score</t>
  </si>
  <si>
    <t>Creator A</t>
  </si>
  <si>
    <t>Instagram</t>
  </si>
  <si>
    <t>Creator B</t>
  </si>
  <si>
    <t>TikTok</t>
  </si>
  <si>
    <t>Creator C</t>
  </si>
  <si>
    <t>Creator D</t>
  </si>
  <si>
    <t>YouTube</t>
  </si>
  <si>
    <t>Creator E</t>
  </si>
  <si>
    <t>Creator F</t>
  </si>
  <si>
    <t>Creator G</t>
  </si>
  <si>
    <t>Creator H</t>
  </si>
  <si>
    <t>Creator I</t>
  </si>
  <si>
    <t>Creator J</t>
  </si>
  <si>
    <t>Creator K</t>
  </si>
  <si>
    <t>Creator L</t>
  </si>
  <si>
    <t>Creator M</t>
  </si>
  <si>
    <t>Creator N</t>
  </si>
  <si>
    <t>Creator O</t>
  </si>
  <si>
    <t>📊  CAMPAIGN KPI SUMMARY</t>
  </si>
  <si>
    <t>Total Cost</t>
  </si>
  <si>
    <t>Total Revenue</t>
  </si>
  <si>
    <t>Total Clicks</t>
  </si>
  <si>
    <t>Total Conversions</t>
  </si>
  <si>
    <t>Avg CTR</t>
  </si>
  <si>
    <t>Avg Conversion Rate</t>
  </si>
  <si>
    <t>Avg CAC</t>
  </si>
  <si>
    <t>Avg ROAS</t>
  </si>
  <si>
    <t>Top Creator (ROAS)</t>
  </si>
  <si>
    <t>Lowest Creator (ROAS)</t>
  </si>
  <si>
    <t>🌐  PLATFORM PERFORMANCE SUMMARY</t>
  </si>
  <si>
    <t>🚀  INFLUENCER MARKETING ROI ENGINE</t>
  </si>
  <si>
    <t>Campaign Performance Analytics  ·  Budget Optimization  ·  Creator ROI Dashboard</t>
  </si>
  <si>
    <t>💰 TOTAL REVENUE</t>
  </si>
  <si>
    <t>💸 TOTAL COST</t>
  </si>
  <si>
    <t>📈 AVG ROAS</t>
  </si>
  <si>
    <t>🎯 TOTAL CONVERSIONS</t>
  </si>
  <si>
    <t>AVG CTR</t>
  </si>
  <si>
    <t>AVG CONV RATE</t>
  </si>
  <si>
    <t>AVG CAC</t>
  </si>
  <si>
    <t>TOTAL CLICKS</t>
  </si>
  <si>
    <t xml:space="preserve">  📊  CREATOR PERFORMANCE  ·  Revenue &amp; ROAS by Influencer</t>
  </si>
  <si>
    <t xml:space="preserve">  💡  STRATEGIC RECOMMENDATIONS</t>
  </si>
  <si>
    <t>✅  TOP CREATOR TO SCALE</t>
  </si>
  <si>
    <t>⚠️  LOWEST PERFORMER TO REASSESS</t>
  </si>
  <si>
    <t>🏆  BEST PLATFORM TO PRIORITISE</t>
  </si>
  <si>
    <t>shows the highest ROAS and strong conversion efficiency.
Recommend increasing budget allocation by 30–40%.
Prioritize Instagram Story + Reel formats for maximum reach.</t>
  </si>
  <si>
    <t>has the weakest return on ad spend.
Review content strategy and audience alignment.
Consider pausing spend pending a content refresh.</t>
  </si>
  <si>
    <t>delivers the strongest average ROAS.
Recommend shifting 20% of TikTok/YouTube budget here.
Focus on micro-influencers (30–70K followers) for best CAC.</t>
  </si>
  <si>
    <t>INFLUENCER MARKETING ROI ENGINE</t>
  </si>
  <si>
    <t>📌  Project Overview</t>
  </si>
  <si>
    <t>Purpose</t>
  </si>
  <si>
    <t>Evaluate influencer campaign performance to identify high-return creators and platforms, and guide smarter budget allocation decisions.</t>
  </si>
  <si>
    <t>🛠️  Tools Used</t>
  </si>
  <si>
    <t>Primary Tool</t>
  </si>
  <si>
    <t>Microsoft Excel for the Web</t>
  </si>
  <si>
    <t>Techniques</t>
  </si>
  <si>
    <t>Pivot-style SUMIF/AVERAGEIF formulas, dynamic INDEX/MATCH, Bar/Column charts, conditional formatting, structured tables</t>
  </si>
  <si>
    <t>📐  Metrics Tracked</t>
  </si>
  <si>
    <t>Click-Through Rate = Clicks ÷ Followers</t>
  </si>
  <si>
    <t>Conversion Rate</t>
  </si>
  <si>
    <t>Conversions ÷ Clicks</t>
  </si>
  <si>
    <t>Customer Acquisition Cost = Cost ÷ Conversions</t>
  </si>
  <si>
    <t>Return on Ad Spend = Revenue ÷ Cost</t>
  </si>
  <si>
    <t>ROI Score</t>
  </si>
  <si>
    <t>Composite score = (Engagement × Conversions × Revenue) ÷ Cost</t>
  </si>
  <si>
    <t>🎯  Business Goal</t>
  </si>
  <si>
    <t>Objective</t>
  </si>
  <si>
    <t>Identify which creators and platforms deliver the strongest ROI so marketing budget is allocated to campaigns with highest conversion efficiency.</t>
  </si>
  <si>
    <t>💡  Key Insights</t>
  </si>
  <si>
    <t>Insight 1</t>
  </si>
  <si>
    <t>Instagram micro-influencers (25K–70K followers) consistently outperform larger creators on ROAS and CAC, driven by higher engagement rates (5–7%).</t>
  </si>
  <si>
    <t>Insight 2</t>
  </si>
  <si>
    <t>YouTube creators show the highest raw reach but the lowest ROAS, suggesting brand awareness rather than conversion-focused campaigns.</t>
  </si>
  <si>
    <t>Insight 3</t>
  </si>
  <si>
    <t>TikTok delivers balanced mid-tier performance; optimizing content format toward native short-video ads could further improve conversion rates.</t>
  </si>
  <si>
    <t>📂  Sheet Guide</t>
  </si>
  <si>
    <t>Raw_Data</t>
  </si>
  <si>
    <t>All campaign inputs + computed KPI columns (CTR, CAC, ROAS, ROI Score)</t>
  </si>
  <si>
    <t>Calculations</t>
  </si>
  <si>
    <t>Aggregated KPIs and platform-level breakdowns using SUMIF/AVERAGEIF</t>
  </si>
  <si>
    <t>Dashboard</t>
  </si>
  <si>
    <t>Visual summary with KPI cards, charts, and strategic recommendations</t>
  </si>
  <si>
    <t>Read_Me</t>
  </si>
  <si>
    <t>Project documentation (this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</si>
</sst>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$#,##0.00"/>
    <numFmt numFmtId="167" formatCode="0.00\x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0"/>
      <color rgb="FF1A1A2E"/>
      <name val="Arial"/>
      <family val="2"/>
    </font>
    <font>
      <b/>
      <sz val="10"/>
      <color rgb="FFFFFFFF"/>
      <name val="Arial"/>
      <family val="2"/>
    </font>
    <font>
      <b/>
      <sz val="22"/>
      <color rgb="FFFFFFFF"/>
      <name val="Arial"/>
      <family val="2"/>
    </font>
    <font>
      <i/>
      <sz val="10"/>
      <color rgb="FF90E0EF"/>
      <name val="Arial"/>
      <family val="2"/>
    </font>
    <font>
      <b/>
      <sz val="9"/>
      <color rgb="FF1A1A2E"/>
      <name val="Arial"/>
      <family val="2"/>
    </font>
    <font>
      <b/>
      <sz val="20"/>
      <color rgb="FF1A1A2E"/>
      <name val="Arial"/>
      <family val="2"/>
    </font>
    <font>
      <b/>
      <sz val="8"/>
      <color rgb="FFB0C4D8"/>
      <name val="Arial"/>
      <family val="2"/>
    </font>
    <font>
      <b/>
      <sz val="15"/>
      <color rgb="FFFFFFFF"/>
      <name val="Arial"/>
      <family val="2"/>
    </font>
    <font>
      <b/>
      <sz val="14"/>
      <color rgb="FF1A1A2E"/>
      <name val="Arial"/>
      <family val="2"/>
    </font>
    <font>
      <sz val="9"/>
      <color rgb="FF1A1A2E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sz val="11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F3460"/>
        <bgColor rgb="FF16213E"/>
      </patternFill>
    </fill>
    <fill>
      <patternFill patternType="solid">
        <fgColor rgb="FFE8F4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A1A2E"/>
        <bgColor rgb="FF16213E"/>
      </patternFill>
    </fill>
    <fill>
      <patternFill patternType="solid">
        <fgColor rgb="FFCAF0F8"/>
        <bgColor rgb="FFE8F4F8"/>
      </patternFill>
    </fill>
    <fill>
      <patternFill patternType="solid">
        <fgColor rgb="FFADE8F4"/>
        <bgColor rgb="FFCAF0F8"/>
      </patternFill>
    </fill>
    <fill>
      <patternFill patternType="solid">
        <fgColor rgb="FF16213E"/>
        <bgColor rgb="FF1A1A2E"/>
      </patternFill>
    </fill>
    <fill>
      <patternFill patternType="solid">
        <fgColor rgb="FF90E0EF"/>
        <bgColor rgb="FFADE8F4"/>
      </patternFill>
    </fill>
    <fill>
      <patternFill patternType="solid">
        <fgColor rgb="FF00B4D8"/>
        <bgColor rgb="FF06D6A0"/>
      </patternFill>
    </fill>
    <fill>
      <patternFill patternType="solid">
        <fgColor rgb="FFF5A623"/>
        <bgColor rgb="FFFFCC00"/>
      </patternFill>
    </fill>
    <fill>
      <patternFill patternType="solid">
        <fgColor rgb="FF06D6A0"/>
        <bgColor rgb="FF00B4D8"/>
      </patternFill>
    </fill>
  </fills>
  <borders count="3">
    <border>
      <left/>
      <right/>
      <top/>
      <bottom/>
      <diagonal/>
    </border>
    <border>
      <left style="thin">
        <color rgb="FFC0D4E4"/>
      </left>
      <right style="thin">
        <color rgb="FFC0D4E4"/>
      </right>
      <top style="thin">
        <color rgb="FFC0D4E4"/>
      </top>
      <bottom style="thin">
        <color rgb="FFC0D4E4"/>
      </bottom>
      <diagonal/>
    </border>
    <border>
      <left style="thin">
        <color rgb="FFC0D4E4"/>
      </left>
      <right/>
      <top style="thin">
        <color rgb="FFC0D4E4"/>
      </top>
      <bottom style="thin">
        <color rgb="FFC0D4E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0" fillId="8" borderId="0" xfId="0" applyFont="1" applyFill="1" applyBorder="1" applyAlignment="1">
      <alignment horizontal="center" vertical="center"/>
    </xf>
    <xf numFmtId="0" fontId="0" fillId="5" borderId="0" xfId="0" applyFill="1" applyBorder="1"/>
    <xf numFmtId="3" fontId="9" fillId="9" borderId="0" xfId="0" applyNumberFormat="1" applyFont="1" applyFill="1" applyBorder="1" applyAlignment="1">
      <alignment horizontal="center" vertical="center"/>
    </xf>
    <xf numFmtId="167" fontId="9" fillId="12" borderId="0" xfId="0" applyNumberFormat="1" applyFont="1" applyFill="1" applyBorder="1" applyAlignment="1">
      <alignment horizontal="center" vertical="center"/>
    </xf>
    <xf numFmtId="165" fontId="9" fillId="11" borderId="0" xfId="0" applyNumberFormat="1" applyFont="1" applyFill="1" applyBorder="1" applyAlignment="1">
      <alignment horizontal="center" vertical="center"/>
    </xf>
    <xf numFmtId="165" fontId="9" fillId="10" borderId="0" xfId="0" applyNumberFormat="1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center"/>
    </xf>
    <xf numFmtId="10" fontId="11" fillId="8" borderId="0" xfId="0" applyNumberFormat="1" applyFont="1" applyFill="1" applyBorder="1" applyAlignment="1">
      <alignment horizontal="center" vertical="center"/>
    </xf>
    <xf numFmtId="10" fontId="11" fillId="2" borderId="0" xfId="0" applyNumberFormat="1" applyFont="1" applyFill="1" applyBorder="1" applyAlignment="1">
      <alignment horizontal="center" vertical="center"/>
    </xf>
    <xf numFmtId="166" fontId="11" fillId="8" borderId="0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12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12" fillId="12" borderId="0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6" fillId="5" borderId="0" xfId="0" applyFont="1" applyFill="1" applyBorder="1"/>
    <xf numFmtId="0" fontId="0" fillId="0" borderId="0" xfId="0" applyFont="1"/>
    <xf numFmtId="0" fontId="0" fillId="0" borderId="0" xfId="0" applyFont="1" applyBorder="1"/>
    <xf numFmtId="0" fontId="0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78787"/>
      <rgbColor rgb="FF9999FF"/>
      <rgbColor rgb="FF993366"/>
      <rgbColor rgb="FFF9F9F9"/>
      <rgbColor rgb="FFCAF0F8"/>
      <rgbColor rgb="FF660066"/>
      <rgbColor rgb="FFFF8080"/>
      <rgbColor rgb="FF0066CC"/>
      <rgbColor rgb="FFC0D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E8F4F8"/>
      <rgbColor rgb="FFADE8F4"/>
      <rgbColor rgb="FFFFFF99"/>
      <rgbColor rgb="FF90E0EF"/>
      <rgbColor rgb="FFFF99CC"/>
      <rgbColor rgb="FFCC99FF"/>
      <rgbColor rgb="FFD9D9D9"/>
      <rgbColor rgb="FF3366FF"/>
      <rgbColor rgb="FF06D6A0"/>
      <rgbColor rgb="FF99CC00"/>
      <rgbColor rgb="FFFFCC00"/>
      <rgbColor rgb="FFF5A623"/>
      <rgbColor rgb="FFFF660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Influencer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Raw_Data!$H$1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Raw_Data!$A$2:$A$16</c:f>
              <c:strCache>
                <c:ptCount val="15"/>
                <c:pt idx="0">
                  <c:v>Creator A</c:v>
                </c:pt>
                <c:pt idx="1">
                  <c:v>Creator B</c:v>
                </c:pt>
                <c:pt idx="2">
                  <c:v>Creator C</c:v>
                </c:pt>
                <c:pt idx="3">
                  <c:v>Creator D</c:v>
                </c:pt>
                <c:pt idx="4">
                  <c:v>Creator E</c:v>
                </c:pt>
                <c:pt idx="5">
                  <c:v>Creator F</c:v>
                </c:pt>
                <c:pt idx="6">
                  <c:v>Creator G</c:v>
                </c:pt>
                <c:pt idx="7">
                  <c:v>Creator H</c:v>
                </c:pt>
                <c:pt idx="8">
                  <c:v>Creator I</c:v>
                </c:pt>
                <c:pt idx="9">
                  <c:v>Creator J</c:v>
                </c:pt>
                <c:pt idx="10">
                  <c:v>Creator K</c:v>
                </c:pt>
                <c:pt idx="11">
                  <c:v>Creator L</c:v>
                </c:pt>
                <c:pt idx="12">
                  <c:v>Creator M</c:v>
                </c:pt>
                <c:pt idx="13">
                  <c:v>Creator N</c:v>
                </c:pt>
                <c:pt idx="14">
                  <c:v>Creator O</c:v>
                </c:pt>
              </c:strCache>
            </c:strRef>
          </c:cat>
          <c:val>
            <c:numRef>
              <c:f>Raw_Data!$H$2:$H$16</c:f>
              <c:numCache>
                <c:formatCode>\$#,##0</c:formatCode>
                <c:ptCount val="15"/>
                <c:pt idx="0">
                  <c:v>3000</c:v>
                </c:pt>
                <c:pt idx="1">
                  <c:v>2500</c:v>
                </c:pt>
                <c:pt idx="2">
                  <c:v>3500</c:v>
                </c:pt>
                <c:pt idx="3">
                  <c:v>2200</c:v>
                </c:pt>
                <c:pt idx="4">
                  <c:v>2800</c:v>
                </c:pt>
                <c:pt idx="5">
                  <c:v>3200</c:v>
                </c:pt>
                <c:pt idx="6">
                  <c:v>2100</c:v>
                </c:pt>
                <c:pt idx="7">
                  <c:v>3800</c:v>
                </c:pt>
                <c:pt idx="8">
                  <c:v>4000</c:v>
                </c:pt>
                <c:pt idx="9">
                  <c:v>2600</c:v>
                </c:pt>
                <c:pt idx="10">
                  <c:v>1900</c:v>
                </c:pt>
                <c:pt idx="11">
                  <c:v>3400</c:v>
                </c:pt>
                <c:pt idx="12">
                  <c:v>3000</c:v>
                </c:pt>
                <c:pt idx="13">
                  <c:v>2300</c:v>
                </c:pt>
                <c:pt idx="14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C-324B-95D6-6F178481E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78804"/>
        <c:axId val="5854326"/>
      </c:barChart>
      <c:catAx>
        <c:axId val="64378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4326"/>
        <c:crosses val="autoZero"/>
        <c:auto val="1"/>
        <c:lblAlgn val="ctr"/>
        <c:lblOffset val="100"/>
        <c:noMultiLvlLbl val="0"/>
      </c:catAx>
      <c:valAx>
        <c:axId val="5854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78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ROAS by Influencer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Raw_Data!$L$1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06D6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Raw_Data!$A$2:$A$16</c:f>
              <c:strCache>
                <c:ptCount val="15"/>
                <c:pt idx="0">
                  <c:v>Creator A</c:v>
                </c:pt>
                <c:pt idx="1">
                  <c:v>Creator B</c:v>
                </c:pt>
                <c:pt idx="2">
                  <c:v>Creator C</c:v>
                </c:pt>
                <c:pt idx="3">
                  <c:v>Creator D</c:v>
                </c:pt>
                <c:pt idx="4">
                  <c:v>Creator E</c:v>
                </c:pt>
                <c:pt idx="5">
                  <c:v>Creator F</c:v>
                </c:pt>
                <c:pt idx="6">
                  <c:v>Creator G</c:v>
                </c:pt>
                <c:pt idx="7">
                  <c:v>Creator H</c:v>
                </c:pt>
                <c:pt idx="8">
                  <c:v>Creator I</c:v>
                </c:pt>
                <c:pt idx="9">
                  <c:v>Creator J</c:v>
                </c:pt>
                <c:pt idx="10">
                  <c:v>Creator K</c:v>
                </c:pt>
                <c:pt idx="11">
                  <c:v>Creator L</c:v>
                </c:pt>
                <c:pt idx="12">
                  <c:v>Creator M</c:v>
                </c:pt>
                <c:pt idx="13">
                  <c:v>Creator N</c:v>
                </c:pt>
                <c:pt idx="14">
                  <c:v>Creator O</c:v>
                </c:pt>
              </c:strCache>
            </c:strRef>
          </c:cat>
          <c:val>
            <c:numRef>
              <c:f>Raw_Data!$L$2:$L$16</c:f>
              <c:numCache>
                <c:formatCode>0.00</c:formatCode>
                <c:ptCount val="15"/>
                <c:pt idx="0">
                  <c:v>6</c:v>
                </c:pt>
                <c:pt idx="1">
                  <c:v>2.0833333333333335</c:v>
                </c:pt>
                <c:pt idx="2">
                  <c:v>11.666666666666666</c:v>
                </c:pt>
                <c:pt idx="3">
                  <c:v>1.1000000000000001</c:v>
                </c:pt>
                <c:pt idx="4">
                  <c:v>4</c:v>
                </c:pt>
                <c:pt idx="5">
                  <c:v>7.1111111111111107</c:v>
                </c:pt>
                <c:pt idx="6">
                  <c:v>1.1666666666666667</c:v>
                </c:pt>
                <c:pt idx="7">
                  <c:v>6.333333333333333</c:v>
                </c:pt>
                <c:pt idx="8">
                  <c:v>16</c:v>
                </c:pt>
                <c:pt idx="9">
                  <c:v>2.736842105263158</c:v>
                </c:pt>
                <c:pt idx="10">
                  <c:v>0.76</c:v>
                </c:pt>
                <c:pt idx="11">
                  <c:v>5.2307692307692308</c:v>
                </c:pt>
                <c:pt idx="12">
                  <c:v>3.75</c:v>
                </c:pt>
                <c:pt idx="13">
                  <c:v>1.0454545454545454</c:v>
                </c:pt>
                <c:pt idx="14">
                  <c:v>10.571428571428571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F-CF4A-9AE1-48B4155C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92286"/>
        <c:axId val="80035953"/>
      </c:barChart>
      <c:catAx>
        <c:axId val="306922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035953"/>
        <c:crosses val="autoZero"/>
        <c:auto val="1"/>
        <c:lblAlgn val="ctr"/>
        <c:lblOffset val="100"/>
        <c:noMultiLvlLbl val="0"/>
      </c:catAx>
      <c:valAx>
        <c:axId val="800359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92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Platform – Avg ROAS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Calculations!$E$14</c:f>
              <c:strCache>
                <c:ptCount val="1"/>
                <c:pt idx="0">
                  <c:v>Avg ROAS</c:v>
                </c:pt>
              </c:strCache>
            </c:strRef>
          </c:tx>
          <c:spPr>
            <a:solidFill>
              <a:srgbClr val="F5A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Calculations!$A$15:$A$17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YouTube</c:v>
                </c:pt>
              </c:strCache>
            </c:strRef>
          </c:cat>
          <c:val>
            <c:numRef>
              <c:f>Calculations!$E$15:$E$17</c:f>
              <c:numCache>
                <c:formatCode>0.00</c:formatCode>
                <c:ptCount val="3"/>
                <c:pt idx="0">
                  <c:v>9.4299959299959291</c:v>
                </c:pt>
                <c:pt idx="1">
                  <c:v>3.7807017543859649</c:v>
                </c:pt>
                <c:pt idx="2">
                  <c:v>1.0180303030303031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0-5940-9B1F-0F365474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48202"/>
        <c:axId val="24646790"/>
      </c:barChart>
      <c:catAx>
        <c:axId val="689482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646790"/>
        <c:crosses val="autoZero"/>
        <c:auto val="1"/>
        <c:lblAlgn val="ctr"/>
        <c:lblOffset val="100"/>
        <c:noMultiLvlLbl val="0"/>
      </c:catAx>
      <c:valAx>
        <c:axId val="24646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948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20</xdr:col>
      <xdr:colOff>364680</xdr:colOff>
      <xdr:row>38</xdr:row>
      <xdr:rowOff>119160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330200</xdr:colOff>
      <xdr:row>16</xdr:row>
      <xdr:rowOff>254000</xdr:rowOff>
    </xdr:from>
    <xdr:to>
      <xdr:col>31</xdr:col>
      <xdr:colOff>26840</xdr:colOff>
      <xdr:row>38</xdr:row>
      <xdr:rowOff>106460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20</xdr:col>
      <xdr:colOff>364680</xdr:colOff>
      <xdr:row>58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Data" displayName="CampaignData" ref="A1:M16" totalsRowShown="0">
  <autoFilter ref="A1:M16" xr:uid="{00000000-0009-0000-0100-000001000000}"/>
  <tableColumns count="13">
    <tableColumn id="1" xr3:uid="{00000000-0010-0000-0000-000001000000}" name="Influencer"/>
    <tableColumn id="2" xr3:uid="{00000000-0010-0000-0000-000002000000}" name="Platform"/>
    <tableColumn id="3" xr3:uid="{00000000-0010-0000-0000-000003000000}" name="Followers"/>
    <tableColumn id="4" xr3:uid="{00000000-0010-0000-0000-000004000000}" name="Engagement_Rate"/>
    <tableColumn id="5" xr3:uid="{00000000-0010-0000-0000-000005000000}" name="Cost"/>
    <tableColumn id="6" xr3:uid="{00000000-0010-0000-0000-000006000000}" name="Clicks"/>
    <tableColumn id="7" xr3:uid="{00000000-0010-0000-0000-000007000000}" name="Conversions"/>
    <tableColumn id="8" xr3:uid="{00000000-0010-0000-0000-000008000000}" name="Revenue"/>
    <tableColumn id="9" xr3:uid="{00000000-0010-0000-0000-000009000000}" name="CTR"/>
    <tableColumn id="10" xr3:uid="{00000000-0010-0000-0000-00000A000000}" name="Conversion_Rate"/>
    <tableColumn id="11" xr3:uid="{00000000-0010-0000-0000-00000B000000}" name="CAC"/>
    <tableColumn id="12" xr3:uid="{00000000-0010-0000-0000-00000C000000}" name="ROAS"/>
    <tableColumn id="13" xr3:uid="{00000000-0010-0000-0000-00000D000000}" name="ROI_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3460"/>
  </sheetPr>
  <dimension ref="A1:M16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13" customWidth="1"/>
    <col min="4" max="4" width="17" customWidth="1"/>
    <col min="5" max="6" width="10" customWidth="1"/>
    <col min="7" max="7" width="13" customWidth="1"/>
    <col min="8" max="8" width="12" customWidth="1"/>
    <col min="9" max="9" width="10" customWidth="1"/>
    <col min="10" max="10" width="17" customWidth="1"/>
    <col min="11" max="12" width="10" customWidth="1"/>
    <col min="13" max="13" width="12" customWidth="1"/>
  </cols>
  <sheetData>
    <row r="1" spans="1:13" ht="27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x14ac:dyDescent="0.2">
      <c r="A2" s="15" t="s">
        <v>13</v>
      </c>
      <c r="B2" s="15" t="s">
        <v>14</v>
      </c>
      <c r="C2" s="16">
        <v>50000</v>
      </c>
      <c r="D2" s="17">
        <v>4.4999999999999998E-2</v>
      </c>
      <c r="E2" s="18">
        <v>500</v>
      </c>
      <c r="F2" s="16">
        <v>1200</v>
      </c>
      <c r="G2" s="16">
        <v>60</v>
      </c>
      <c r="H2" s="18">
        <v>3000</v>
      </c>
      <c r="I2" s="19">
        <f t="shared" ref="I2:I16" si="0">F2/C2</f>
        <v>2.4E-2</v>
      </c>
      <c r="J2" s="19">
        <f t="shared" ref="J2:J16" si="1">G2/F2</f>
        <v>0.05</v>
      </c>
      <c r="K2" s="20">
        <f t="shared" ref="K2:K16" si="2">E2/G2</f>
        <v>8.3333333333333339</v>
      </c>
      <c r="L2" s="21">
        <f t="shared" ref="L2:L16" si="3">H2/E2</f>
        <v>6</v>
      </c>
      <c r="M2" s="21">
        <f t="shared" ref="M2:M16" si="4">(D2*G2*H2)/E2</f>
        <v>16.2</v>
      </c>
    </row>
    <row r="3" spans="1:13" x14ac:dyDescent="0.2">
      <c r="A3" s="22" t="s">
        <v>15</v>
      </c>
      <c r="B3" s="22" t="s">
        <v>16</v>
      </c>
      <c r="C3" s="23">
        <v>120000</v>
      </c>
      <c r="D3" s="24">
        <v>2.1000000000000001E-2</v>
      </c>
      <c r="E3" s="25">
        <v>1200</v>
      </c>
      <c r="F3" s="23">
        <v>1500</v>
      </c>
      <c r="G3" s="23">
        <v>45</v>
      </c>
      <c r="H3" s="25">
        <v>2500</v>
      </c>
      <c r="I3" s="26">
        <f t="shared" si="0"/>
        <v>1.2500000000000001E-2</v>
      </c>
      <c r="J3" s="26">
        <f t="shared" si="1"/>
        <v>0.03</v>
      </c>
      <c r="K3" s="27">
        <f t="shared" si="2"/>
        <v>26.666666666666668</v>
      </c>
      <c r="L3" s="28">
        <f t="shared" si="3"/>
        <v>2.0833333333333335</v>
      </c>
      <c r="M3" s="28">
        <f t="shared" si="4"/>
        <v>1.96875</v>
      </c>
    </row>
    <row r="4" spans="1:13" x14ac:dyDescent="0.2">
      <c r="A4" s="15" t="s">
        <v>17</v>
      </c>
      <c r="B4" s="15" t="s">
        <v>14</v>
      </c>
      <c r="C4" s="16">
        <v>30000</v>
      </c>
      <c r="D4" s="17">
        <v>6.2E-2</v>
      </c>
      <c r="E4" s="18">
        <v>300</v>
      </c>
      <c r="F4" s="16">
        <v>900</v>
      </c>
      <c r="G4" s="16">
        <v>70</v>
      </c>
      <c r="H4" s="18">
        <v>3500</v>
      </c>
      <c r="I4" s="19">
        <f t="shared" si="0"/>
        <v>0.03</v>
      </c>
      <c r="J4" s="19">
        <f t="shared" si="1"/>
        <v>7.7777777777777779E-2</v>
      </c>
      <c r="K4" s="20">
        <f t="shared" si="2"/>
        <v>4.2857142857142856</v>
      </c>
      <c r="L4" s="21">
        <f t="shared" si="3"/>
        <v>11.666666666666666</v>
      </c>
      <c r="M4" s="21">
        <f t="shared" si="4"/>
        <v>50.633333333333333</v>
      </c>
    </row>
    <row r="5" spans="1:13" x14ac:dyDescent="0.2">
      <c r="A5" s="22" t="s">
        <v>18</v>
      </c>
      <c r="B5" s="22" t="s">
        <v>19</v>
      </c>
      <c r="C5" s="23">
        <v>200000</v>
      </c>
      <c r="D5" s="24">
        <v>1.4999999999999999E-2</v>
      </c>
      <c r="E5" s="25">
        <v>2000</v>
      </c>
      <c r="F5" s="23">
        <v>1800</v>
      </c>
      <c r="G5" s="23">
        <v>40</v>
      </c>
      <c r="H5" s="25">
        <v>2200</v>
      </c>
      <c r="I5" s="26">
        <f t="shared" si="0"/>
        <v>8.9999999999999993E-3</v>
      </c>
      <c r="J5" s="26">
        <f t="shared" si="1"/>
        <v>2.2222222222222223E-2</v>
      </c>
      <c r="K5" s="27">
        <f t="shared" si="2"/>
        <v>50</v>
      </c>
      <c r="L5" s="28">
        <f t="shared" si="3"/>
        <v>1.1000000000000001</v>
      </c>
      <c r="M5" s="28">
        <f t="shared" si="4"/>
        <v>0.66</v>
      </c>
    </row>
    <row r="6" spans="1:13" x14ac:dyDescent="0.2">
      <c r="A6" s="15" t="s">
        <v>20</v>
      </c>
      <c r="B6" s="15" t="s">
        <v>16</v>
      </c>
      <c r="C6" s="16">
        <v>80000</v>
      </c>
      <c r="D6" s="17">
        <v>3.7999999999999999E-2</v>
      </c>
      <c r="E6" s="18">
        <v>700</v>
      </c>
      <c r="F6" s="16">
        <v>1100</v>
      </c>
      <c r="G6" s="16">
        <v>55</v>
      </c>
      <c r="H6" s="18">
        <v>2800</v>
      </c>
      <c r="I6" s="19">
        <f t="shared" si="0"/>
        <v>1.375E-2</v>
      </c>
      <c r="J6" s="19">
        <f t="shared" si="1"/>
        <v>0.05</v>
      </c>
      <c r="K6" s="20">
        <f t="shared" si="2"/>
        <v>12.727272727272727</v>
      </c>
      <c r="L6" s="21">
        <f t="shared" si="3"/>
        <v>4</v>
      </c>
      <c r="M6" s="21">
        <f t="shared" si="4"/>
        <v>8.36</v>
      </c>
    </row>
    <row r="7" spans="1:13" x14ac:dyDescent="0.2">
      <c r="A7" s="22" t="s">
        <v>21</v>
      </c>
      <c r="B7" s="22" t="s">
        <v>14</v>
      </c>
      <c r="C7" s="23">
        <v>45000</v>
      </c>
      <c r="D7" s="24">
        <v>5.5E-2</v>
      </c>
      <c r="E7" s="25">
        <v>450</v>
      </c>
      <c r="F7" s="23">
        <v>1050</v>
      </c>
      <c r="G7" s="23">
        <v>65</v>
      </c>
      <c r="H7" s="25">
        <v>3200</v>
      </c>
      <c r="I7" s="26">
        <f t="shared" si="0"/>
        <v>2.3333333333333334E-2</v>
      </c>
      <c r="J7" s="26">
        <f t="shared" si="1"/>
        <v>6.1904761904761907E-2</v>
      </c>
      <c r="K7" s="27">
        <f t="shared" si="2"/>
        <v>6.9230769230769234</v>
      </c>
      <c r="L7" s="28">
        <f t="shared" si="3"/>
        <v>7.1111111111111107</v>
      </c>
      <c r="M7" s="28">
        <f t="shared" si="4"/>
        <v>25.422222222222221</v>
      </c>
    </row>
    <row r="8" spans="1:13" x14ac:dyDescent="0.2">
      <c r="A8" s="15" t="s">
        <v>22</v>
      </c>
      <c r="B8" s="15" t="s">
        <v>19</v>
      </c>
      <c r="C8" s="16">
        <v>150000</v>
      </c>
      <c r="D8" s="17">
        <v>2.1999999999999999E-2</v>
      </c>
      <c r="E8" s="18">
        <v>1800</v>
      </c>
      <c r="F8" s="16">
        <v>2000</v>
      </c>
      <c r="G8" s="16">
        <v>38</v>
      </c>
      <c r="H8" s="18">
        <v>2100</v>
      </c>
      <c r="I8" s="19">
        <f t="shared" si="0"/>
        <v>1.3333333333333334E-2</v>
      </c>
      <c r="J8" s="19">
        <f t="shared" si="1"/>
        <v>1.9E-2</v>
      </c>
      <c r="K8" s="20">
        <f t="shared" si="2"/>
        <v>47.368421052631582</v>
      </c>
      <c r="L8" s="21">
        <f t="shared" si="3"/>
        <v>1.1666666666666667</v>
      </c>
      <c r="M8" s="21">
        <f t="shared" si="4"/>
        <v>0.97533333333333327</v>
      </c>
    </row>
    <row r="9" spans="1:13" x14ac:dyDescent="0.2">
      <c r="A9" s="22" t="s">
        <v>23</v>
      </c>
      <c r="B9" s="22" t="s">
        <v>16</v>
      </c>
      <c r="C9" s="23">
        <v>60000</v>
      </c>
      <c r="D9" s="24">
        <v>4.7E-2</v>
      </c>
      <c r="E9" s="25">
        <v>600</v>
      </c>
      <c r="F9" s="23">
        <v>1300</v>
      </c>
      <c r="G9" s="23">
        <v>72</v>
      </c>
      <c r="H9" s="25">
        <v>3800</v>
      </c>
      <c r="I9" s="26">
        <f t="shared" si="0"/>
        <v>2.1666666666666667E-2</v>
      </c>
      <c r="J9" s="26">
        <f t="shared" si="1"/>
        <v>5.5384615384615386E-2</v>
      </c>
      <c r="K9" s="27">
        <f t="shared" si="2"/>
        <v>8.3333333333333339</v>
      </c>
      <c r="L9" s="28">
        <f t="shared" si="3"/>
        <v>6.333333333333333</v>
      </c>
      <c r="M9" s="28">
        <f t="shared" si="4"/>
        <v>21.431999999999999</v>
      </c>
    </row>
    <row r="10" spans="1:13" x14ac:dyDescent="0.2">
      <c r="A10" s="15" t="s">
        <v>24</v>
      </c>
      <c r="B10" s="15" t="s">
        <v>14</v>
      </c>
      <c r="C10" s="16">
        <v>25000</v>
      </c>
      <c r="D10" s="17">
        <v>7.0999999999999994E-2</v>
      </c>
      <c r="E10" s="18">
        <v>250</v>
      </c>
      <c r="F10" s="16">
        <v>800</v>
      </c>
      <c r="G10" s="16">
        <v>80</v>
      </c>
      <c r="H10" s="18">
        <v>4000</v>
      </c>
      <c r="I10" s="19">
        <f t="shared" si="0"/>
        <v>3.2000000000000001E-2</v>
      </c>
      <c r="J10" s="19">
        <f t="shared" si="1"/>
        <v>0.1</v>
      </c>
      <c r="K10" s="20">
        <f t="shared" si="2"/>
        <v>3.125</v>
      </c>
      <c r="L10" s="21">
        <f t="shared" si="3"/>
        <v>16</v>
      </c>
      <c r="M10" s="21">
        <f t="shared" si="4"/>
        <v>90.88</v>
      </c>
    </row>
    <row r="11" spans="1:13" x14ac:dyDescent="0.2">
      <c r="A11" s="22" t="s">
        <v>25</v>
      </c>
      <c r="B11" s="22" t="s">
        <v>16</v>
      </c>
      <c r="C11" s="23">
        <v>100000</v>
      </c>
      <c r="D11" s="24">
        <v>2.9000000000000001E-2</v>
      </c>
      <c r="E11" s="25">
        <v>950</v>
      </c>
      <c r="F11" s="23">
        <v>1400</v>
      </c>
      <c r="G11" s="23">
        <v>50</v>
      </c>
      <c r="H11" s="25">
        <v>2600</v>
      </c>
      <c r="I11" s="26">
        <f t="shared" si="0"/>
        <v>1.4E-2</v>
      </c>
      <c r="J11" s="26">
        <f t="shared" si="1"/>
        <v>3.5714285714285712E-2</v>
      </c>
      <c r="K11" s="27">
        <f t="shared" si="2"/>
        <v>19</v>
      </c>
      <c r="L11" s="28">
        <f t="shared" si="3"/>
        <v>2.736842105263158</v>
      </c>
      <c r="M11" s="28">
        <f t="shared" si="4"/>
        <v>3.9684210526315793</v>
      </c>
    </row>
    <row r="12" spans="1:13" x14ac:dyDescent="0.2">
      <c r="A12" s="15" t="s">
        <v>26</v>
      </c>
      <c r="B12" s="15" t="s">
        <v>19</v>
      </c>
      <c r="C12" s="16">
        <v>250000</v>
      </c>
      <c r="D12" s="17">
        <v>1.7999999999999999E-2</v>
      </c>
      <c r="E12" s="18">
        <v>2500</v>
      </c>
      <c r="F12" s="16">
        <v>2200</v>
      </c>
      <c r="G12" s="16">
        <v>35</v>
      </c>
      <c r="H12" s="18">
        <v>1900</v>
      </c>
      <c r="I12" s="19">
        <f t="shared" si="0"/>
        <v>8.8000000000000005E-3</v>
      </c>
      <c r="J12" s="19">
        <f t="shared" si="1"/>
        <v>1.5909090909090907E-2</v>
      </c>
      <c r="K12" s="20">
        <f t="shared" si="2"/>
        <v>71.428571428571431</v>
      </c>
      <c r="L12" s="21">
        <f t="shared" si="3"/>
        <v>0.76</v>
      </c>
      <c r="M12" s="21">
        <f t="shared" si="4"/>
        <v>0.4788</v>
      </c>
    </row>
    <row r="13" spans="1:13" x14ac:dyDescent="0.2">
      <c r="A13" s="22" t="s">
        <v>27</v>
      </c>
      <c r="B13" s="22" t="s">
        <v>14</v>
      </c>
      <c r="C13" s="23">
        <v>70000</v>
      </c>
      <c r="D13" s="24">
        <v>4.1000000000000002E-2</v>
      </c>
      <c r="E13" s="25">
        <v>650</v>
      </c>
      <c r="F13" s="23">
        <v>1600</v>
      </c>
      <c r="G13" s="23">
        <v>68</v>
      </c>
      <c r="H13" s="25">
        <v>3400</v>
      </c>
      <c r="I13" s="26">
        <f t="shared" si="0"/>
        <v>2.2857142857142857E-2</v>
      </c>
      <c r="J13" s="26">
        <f t="shared" si="1"/>
        <v>4.2500000000000003E-2</v>
      </c>
      <c r="K13" s="27">
        <f t="shared" si="2"/>
        <v>9.5588235294117645</v>
      </c>
      <c r="L13" s="28">
        <f t="shared" si="3"/>
        <v>5.2307692307692308</v>
      </c>
      <c r="M13" s="28">
        <f t="shared" si="4"/>
        <v>14.583384615384617</v>
      </c>
    </row>
    <row r="14" spans="1:13" x14ac:dyDescent="0.2">
      <c r="A14" s="15" t="s">
        <v>28</v>
      </c>
      <c r="B14" s="15" t="s">
        <v>16</v>
      </c>
      <c r="C14" s="16">
        <v>90000</v>
      </c>
      <c r="D14" s="17">
        <v>3.3000000000000002E-2</v>
      </c>
      <c r="E14" s="18">
        <v>800</v>
      </c>
      <c r="F14" s="16">
        <v>1200</v>
      </c>
      <c r="G14" s="16">
        <v>58</v>
      </c>
      <c r="H14" s="18">
        <v>3000</v>
      </c>
      <c r="I14" s="19">
        <f t="shared" si="0"/>
        <v>1.3333333333333334E-2</v>
      </c>
      <c r="J14" s="19">
        <f t="shared" si="1"/>
        <v>4.8333333333333332E-2</v>
      </c>
      <c r="K14" s="20">
        <f t="shared" si="2"/>
        <v>13.793103448275861</v>
      </c>
      <c r="L14" s="21">
        <f t="shared" si="3"/>
        <v>3.75</v>
      </c>
      <c r="M14" s="21">
        <f t="shared" si="4"/>
        <v>7.1775000000000002</v>
      </c>
    </row>
    <row r="15" spans="1:13" x14ac:dyDescent="0.2">
      <c r="A15" s="22" t="s">
        <v>29</v>
      </c>
      <c r="B15" s="22" t="s">
        <v>19</v>
      </c>
      <c r="C15" s="23">
        <v>180000</v>
      </c>
      <c r="D15" s="24">
        <v>0.02</v>
      </c>
      <c r="E15" s="25">
        <v>2200</v>
      </c>
      <c r="F15" s="23">
        <v>1900</v>
      </c>
      <c r="G15" s="23">
        <v>42</v>
      </c>
      <c r="H15" s="25">
        <v>2300</v>
      </c>
      <c r="I15" s="26">
        <f t="shared" si="0"/>
        <v>1.0555555555555556E-2</v>
      </c>
      <c r="J15" s="26">
        <f t="shared" si="1"/>
        <v>2.2105263157894735E-2</v>
      </c>
      <c r="K15" s="27">
        <f t="shared" si="2"/>
        <v>52.38095238095238</v>
      </c>
      <c r="L15" s="28">
        <f t="shared" si="3"/>
        <v>1.0454545454545454</v>
      </c>
      <c r="M15" s="28">
        <f t="shared" si="4"/>
        <v>0.87818181818181817</v>
      </c>
    </row>
    <row r="16" spans="1:13" x14ac:dyDescent="0.2">
      <c r="A16" s="15" t="s">
        <v>30</v>
      </c>
      <c r="B16" s="15" t="s">
        <v>14</v>
      </c>
      <c r="C16" s="16">
        <v>35000</v>
      </c>
      <c r="D16" s="17">
        <v>0.06</v>
      </c>
      <c r="E16" s="18">
        <v>350</v>
      </c>
      <c r="F16" s="16">
        <v>1000</v>
      </c>
      <c r="G16" s="16">
        <v>75</v>
      </c>
      <c r="H16" s="18">
        <v>3700</v>
      </c>
      <c r="I16" s="19">
        <f t="shared" si="0"/>
        <v>2.8571428571428571E-2</v>
      </c>
      <c r="J16" s="19">
        <f t="shared" si="1"/>
        <v>7.4999999999999997E-2</v>
      </c>
      <c r="K16" s="20">
        <f t="shared" si="2"/>
        <v>4.666666666666667</v>
      </c>
      <c r="L16" s="21">
        <f t="shared" si="3"/>
        <v>10.571428571428571</v>
      </c>
      <c r="M16" s="21">
        <f t="shared" si="4"/>
        <v>47.571428571428569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4D8"/>
  </sheetPr>
  <dimension ref="A1:E17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26" customWidth="1"/>
    <col min="2" max="2" width="18" customWidth="1"/>
    <col min="3" max="5" width="20" customWidth="1"/>
    <col min="6" max="6" width="14" customWidth="1"/>
  </cols>
  <sheetData>
    <row r="1" spans="1:5" ht="16.25" customHeight="1" x14ac:dyDescent="0.2">
      <c r="A1" s="13" t="s">
        <v>31</v>
      </c>
      <c r="B1" s="13"/>
    </row>
    <row r="2" spans="1:5" ht="21.75" customHeight="1" x14ac:dyDescent="0.2">
      <c r="A2" s="29" t="s">
        <v>32</v>
      </c>
      <c r="B2" s="18">
        <f>SUM(Raw_Data!E2:E16)</f>
        <v>15250</v>
      </c>
    </row>
    <row r="3" spans="1:5" ht="21.75" customHeight="1" x14ac:dyDescent="0.2">
      <c r="A3" s="30" t="s">
        <v>33</v>
      </c>
      <c r="B3" s="18">
        <f>SUM(Raw_Data!H2:H16)</f>
        <v>44000</v>
      </c>
    </row>
    <row r="4" spans="1:5" ht="21.75" customHeight="1" x14ac:dyDescent="0.2">
      <c r="A4" s="29" t="s">
        <v>34</v>
      </c>
      <c r="B4" s="16">
        <f>SUM(Raw_Data!F2:F16)</f>
        <v>20950</v>
      </c>
    </row>
    <row r="5" spans="1:5" ht="21.75" customHeight="1" x14ac:dyDescent="0.2">
      <c r="A5" s="30" t="s">
        <v>35</v>
      </c>
      <c r="B5" s="16">
        <f>SUM(Raw_Data!G2:G16)</f>
        <v>853</v>
      </c>
    </row>
    <row r="6" spans="1:5" ht="21.75" customHeight="1" x14ac:dyDescent="0.2">
      <c r="A6" s="29" t="s">
        <v>36</v>
      </c>
      <c r="B6" s="19">
        <f>AVERAGE(Raw_Data!I2:I16)</f>
        <v>1.8513386243386241E-2</v>
      </c>
    </row>
    <row r="7" spans="1:5" ht="21.75" customHeight="1" x14ac:dyDescent="0.2">
      <c r="A7" s="30" t="s">
        <v>37</v>
      </c>
      <c r="B7" s="19">
        <f>AVERAGE(Raw_Data!J2:J16)</f>
        <v>4.7056756693598795E-2</v>
      </c>
    </row>
    <row r="8" spans="1:5" ht="21.75" customHeight="1" x14ac:dyDescent="0.2">
      <c r="A8" s="29" t="s">
        <v>38</v>
      </c>
      <c r="B8" s="20">
        <f>AVERAGE(Raw_Data!K2:K16)</f>
        <v>22.572729051727134</v>
      </c>
    </row>
    <row r="9" spans="1:5" ht="21.75" customHeight="1" x14ac:dyDescent="0.2">
      <c r="A9" s="30" t="s">
        <v>39</v>
      </c>
      <c r="B9" s="21">
        <f>AVERAGE(Raw_Data!L2:L16)</f>
        <v>5.3037070376017743</v>
      </c>
    </row>
    <row r="10" spans="1:5" ht="21.75" customHeight="1" x14ac:dyDescent="0.2">
      <c r="A10" s="29" t="s">
        <v>40</v>
      </c>
      <c r="B10" s="15" t="str">
        <f>INDEX(Raw_Data!A2:A16,MATCH(MAX(Raw_Data!L2:L16),Raw_Data!L2:L16,0))</f>
        <v>Creator I</v>
      </c>
    </row>
    <row r="11" spans="1:5" ht="21.75" customHeight="1" x14ac:dyDescent="0.2">
      <c r="A11" s="30" t="s">
        <v>41</v>
      </c>
      <c r="B11" s="15" t="str">
        <f>INDEX(Raw_Data!A2:A16,MATCH(MIN(Raw_Data!L2:L16),Raw_Data!L2:L16,0))</f>
        <v>Creator K</v>
      </c>
    </row>
    <row r="13" spans="1:5" ht="16.25" customHeight="1" x14ac:dyDescent="0.2">
      <c r="A13" s="13" t="s">
        <v>42</v>
      </c>
      <c r="B13" s="13"/>
      <c r="C13" s="13"/>
      <c r="D13" s="13"/>
      <c r="E13" s="13"/>
    </row>
    <row r="14" spans="1:5" x14ac:dyDescent="0.2">
      <c r="A14" s="31" t="s">
        <v>1</v>
      </c>
      <c r="B14" s="31" t="s">
        <v>32</v>
      </c>
      <c r="C14" s="31" t="s">
        <v>33</v>
      </c>
      <c r="D14" s="31" t="s">
        <v>35</v>
      </c>
      <c r="E14" s="31" t="s">
        <v>39</v>
      </c>
    </row>
    <row r="15" spans="1:5" ht="19.5" customHeight="1" x14ac:dyDescent="0.2">
      <c r="A15" s="32" t="s">
        <v>14</v>
      </c>
      <c r="B15" s="18">
        <f>SUMIF(Raw_Data!B:B,"Instagram",Raw_Data!E:E)</f>
        <v>2500</v>
      </c>
      <c r="C15" s="18">
        <f>SUMIF(Raw_Data!B:B,"Instagram",Raw_Data!H:H)</f>
        <v>20800</v>
      </c>
      <c r="D15" s="16">
        <f>SUMIF(Raw_Data!B:B,"Instagram",Raw_Data!G:G)</f>
        <v>418</v>
      </c>
      <c r="E15" s="21">
        <f>AVERAGEIF(Raw_Data!B:B,"Instagram",Raw_Data!L:L)</f>
        <v>9.4299959299959291</v>
      </c>
    </row>
    <row r="16" spans="1:5" ht="19.5" customHeight="1" x14ac:dyDescent="0.2">
      <c r="A16" s="33" t="s">
        <v>16</v>
      </c>
      <c r="B16" s="18">
        <f>SUMIF(Raw_Data!B:B,"TikTok",Raw_Data!E:E)</f>
        <v>4250</v>
      </c>
      <c r="C16" s="18">
        <f>SUMIF(Raw_Data!B:B,"TikTok",Raw_Data!H:H)</f>
        <v>14700</v>
      </c>
      <c r="D16" s="16">
        <f>SUMIF(Raw_Data!B:B,"TikTok",Raw_Data!G:G)</f>
        <v>280</v>
      </c>
      <c r="E16" s="21">
        <f>AVERAGEIF(Raw_Data!B:B,"TikTok",Raw_Data!L:L)</f>
        <v>3.7807017543859649</v>
      </c>
    </row>
    <row r="17" spans="1:5" ht="19.5" customHeight="1" x14ac:dyDescent="0.2">
      <c r="A17" s="34" t="s">
        <v>19</v>
      </c>
      <c r="B17" s="18">
        <f>SUMIF(Raw_Data!B:B,"YouTube",Raw_Data!E:E)</f>
        <v>8500</v>
      </c>
      <c r="C17" s="18">
        <f>SUMIF(Raw_Data!B:B,"YouTube",Raw_Data!H:H)</f>
        <v>8500</v>
      </c>
      <c r="D17" s="16">
        <f>SUMIF(Raw_Data!B:B,"YouTube",Raw_Data!G:G)</f>
        <v>155</v>
      </c>
      <c r="E17" s="21">
        <f>AVERAGEIF(Raw_Data!B:B,"YouTube",Raw_Data!L:L)</f>
        <v>1.0180303030303031</v>
      </c>
    </row>
  </sheetData>
  <mergeCells count="2">
    <mergeCell ref="A1:B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D6A0"/>
  </sheetPr>
  <dimension ref="A1:R79"/>
  <sheetViews>
    <sheetView showGridLines="0" tabSelected="1" zoomScaleNormal="100" workbookViewId="0">
      <selection activeCell="AB65" sqref="AB65"/>
    </sheetView>
  </sheetViews>
  <sheetFormatPr baseColWidth="10" defaultColWidth="8.6640625" defaultRowHeight="15" x14ac:dyDescent="0.2"/>
  <cols>
    <col min="1" max="1" width="1.5" customWidth="1"/>
    <col min="2" max="18" width="4.5" customWidth="1"/>
    <col min="19" max="19" width="1.5" customWidth="1"/>
  </cols>
  <sheetData>
    <row r="1" spans="1:18" ht="15.75" customHeight="1" x14ac:dyDescent="0.2">
      <c r="A1" s="53"/>
      <c r="B1" s="12" t="s">
        <v>43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5.75" customHeight="1" x14ac:dyDescent="0.2">
      <c r="A2" s="5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5.75" customHeight="1" x14ac:dyDescent="0.2">
      <c r="A3" s="53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5.75" customHeight="1" x14ac:dyDescent="0.2">
      <c r="A4" s="53"/>
      <c r="B4" s="11" t="s">
        <v>44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.75" customHeight="1" x14ac:dyDescent="0.2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8" ht="15.75" customHeight="1" x14ac:dyDescent="0.2">
      <c r="A6" s="53"/>
      <c r="B6" s="10" t="s">
        <v>45</v>
      </c>
      <c r="C6" s="10"/>
      <c r="D6" s="10"/>
      <c r="E6" s="10"/>
      <c r="F6" s="9" t="s">
        <v>46</v>
      </c>
      <c r="G6" s="9"/>
      <c r="H6" s="9"/>
      <c r="I6" s="9"/>
      <c r="J6" s="8" t="s">
        <v>47</v>
      </c>
      <c r="K6" s="8"/>
      <c r="L6" s="8"/>
      <c r="M6" s="8"/>
      <c r="N6" s="7" t="s">
        <v>48</v>
      </c>
      <c r="O6" s="7"/>
      <c r="P6" s="7"/>
      <c r="Q6" s="7"/>
      <c r="R6" s="7"/>
    </row>
    <row r="7" spans="1:18" ht="15.75" customHeight="1" x14ac:dyDescent="0.2">
      <c r="A7" s="53"/>
      <c r="B7" s="6">
        <f>Calculations!B3</f>
        <v>44000</v>
      </c>
      <c r="C7" s="6"/>
      <c r="D7" s="6"/>
      <c r="E7" s="6"/>
      <c r="F7" s="5">
        <f>Calculations!B2</f>
        <v>15250</v>
      </c>
      <c r="G7" s="5"/>
      <c r="H7" s="5"/>
      <c r="I7" s="5"/>
      <c r="J7" s="4">
        <f>Calculations!B9</f>
        <v>5.3037070376017743</v>
      </c>
      <c r="K7" s="4"/>
      <c r="L7" s="4"/>
      <c r="M7" s="4"/>
      <c r="N7" s="3">
        <f>Calculations!B5</f>
        <v>853</v>
      </c>
      <c r="O7" s="3"/>
      <c r="P7" s="3"/>
      <c r="Q7" s="3"/>
      <c r="R7" s="3"/>
    </row>
    <row r="8" spans="1:18" ht="15.75" customHeight="1" x14ac:dyDescent="0.2">
      <c r="A8" s="53"/>
      <c r="B8" s="6"/>
      <c r="C8" s="6"/>
      <c r="D8" s="6"/>
      <c r="E8" s="6"/>
      <c r="F8" s="5"/>
      <c r="G8" s="5"/>
      <c r="H8" s="5"/>
      <c r="I8" s="5"/>
      <c r="J8" s="4"/>
      <c r="K8" s="4"/>
      <c r="L8" s="4"/>
      <c r="M8" s="4"/>
      <c r="N8" s="3"/>
      <c r="O8" s="3"/>
      <c r="P8" s="3"/>
      <c r="Q8" s="3"/>
      <c r="R8" s="3"/>
    </row>
    <row r="9" spans="1:18" ht="15.75" customHeight="1" x14ac:dyDescent="0.2">
      <c r="A9" s="53"/>
      <c r="B9" s="6"/>
      <c r="C9" s="6"/>
      <c r="D9" s="6"/>
      <c r="E9" s="6"/>
      <c r="F9" s="5"/>
      <c r="G9" s="5"/>
      <c r="H9" s="5"/>
      <c r="I9" s="5"/>
      <c r="J9" s="4"/>
      <c r="K9" s="4"/>
      <c r="L9" s="4"/>
      <c r="M9" s="4"/>
      <c r="N9" s="3"/>
      <c r="O9" s="3"/>
      <c r="P9" s="3"/>
      <c r="Q9" s="3"/>
      <c r="R9" s="3"/>
    </row>
    <row r="10" spans="1:18" ht="15.75" customHeight="1" x14ac:dyDescent="0.2">
      <c r="A10" s="53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 spans="1:18" ht="15.75" customHeight="1" x14ac:dyDescent="0.2">
      <c r="A11" s="53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 spans="1:18" ht="15.75" customHeight="1" x14ac:dyDescent="0.2">
      <c r="A12" s="53"/>
      <c r="B12" s="1" t="s">
        <v>49</v>
      </c>
      <c r="C12" s="1"/>
      <c r="D12" s="1"/>
      <c r="E12" s="1"/>
      <c r="F12" s="37" t="s">
        <v>50</v>
      </c>
      <c r="G12" s="37"/>
      <c r="H12" s="37"/>
      <c r="I12" s="37"/>
      <c r="J12" s="1" t="s">
        <v>51</v>
      </c>
      <c r="K12" s="1"/>
      <c r="L12" s="1"/>
      <c r="M12" s="1"/>
      <c r="N12" s="37" t="s">
        <v>52</v>
      </c>
      <c r="O12" s="37"/>
      <c r="P12" s="37"/>
      <c r="Q12" s="37"/>
      <c r="R12" s="37"/>
    </row>
    <row r="13" spans="1:18" ht="15.75" customHeight="1" x14ac:dyDescent="0.2">
      <c r="A13" s="53"/>
      <c r="B13" s="38">
        <f>Calculations!B6</f>
        <v>1.8513386243386241E-2</v>
      </c>
      <c r="C13" s="38"/>
      <c r="D13" s="38"/>
      <c r="E13" s="38"/>
      <c r="F13" s="39">
        <f>Calculations!B7</f>
        <v>4.7056756693598795E-2</v>
      </c>
      <c r="G13" s="39"/>
      <c r="H13" s="39"/>
      <c r="I13" s="39"/>
      <c r="J13" s="40">
        <f>Calculations!B8</f>
        <v>22.572729051727134</v>
      </c>
      <c r="K13" s="40"/>
      <c r="L13" s="40"/>
      <c r="M13" s="40"/>
      <c r="N13" s="41">
        <f>Calculations!B4</f>
        <v>20950</v>
      </c>
      <c r="O13" s="41"/>
      <c r="P13" s="41"/>
      <c r="Q13" s="41"/>
      <c r="R13" s="41"/>
    </row>
    <row r="14" spans="1:18" ht="15.75" customHeight="1" x14ac:dyDescent="0.2">
      <c r="A14" s="53"/>
      <c r="B14" s="38"/>
      <c r="C14" s="38"/>
      <c r="D14" s="38"/>
      <c r="E14" s="38"/>
      <c r="F14" s="39"/>
      <c r="G14" s="39"/>
      <c r="H14" s="39"/>
      <c r="I14" s="39"/>
      <c r="J14" s="40"/>
      <c r="K14" s="40"/>
      <c r="L14" s="40"/>
      <c r="M14" s="40"/>
      <c r="N14" s="41"/>
      <c r="O14" s="41"/>
      <c r="P14" s="41"/>
      <c r="Q14" s="41"/>
      <c r="R14" s="41"/>
    </row>
    <row r="15" spans="1:18" ht="15.75" customHeight="1" x14ac:dyDescent="0.2">
      <c r="A15" s="53"/>
      <c r="B15" s="38"/>
      <c r="C15" s="38"/>
      <c r="D15" s="38"/>
      <c r="E15" s="38"/>
      <c r="F15" s="39"/>
      <c r="G15" s="39"/>
      <c r="H15" s="39"/>
      <c r="I15" s="39"/>
      <c r="J15" s="40"/>
      <c r="K15" s="40"/>
      <c r="L15" s="40"/>
      <c r="M15" s="40"/>
      <c r="N15" s="41"/>
      <c r="O15" s="41"/>
      <c r="P15" s="41"/>
      <c r="Q15" s="41"/>
      <c r="R15" s="41"/>
    </row>
    <row r="16" spans="1:18" ht="15.75" customHeight="1" x14ac:dyDescent="0.2">
      <c r="A16" s="53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 spans="1:18" ht="21.75" customHeight="1" x14ac:dyDescent="0.2">
      <c r="A17" s="53"/>
      <c r="B17" s="42" t="s">
        <v>53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  <row r="18" spans="1:18" ht="15.75" customHeight="1" x14ac:dyDescent="0.2"/>
    <row r="19" spans="1:18" ht="15.75" customHeight="1" x14ac:dyDescent="0.2"/>
    <row r="20" spans="1:18" ht="15.75" customHeight="1" x14ac:dyDescent="0.2"/>
    <row r="21" spans="1:18" ht="15.75" customHeight="1" x14ac:dyDescent="0.2"/>
    <row r="22" spans="1:18" ht="15.75" customHeight="1" x14ac:dyDescent="0.2"/>
    <row r="23" spans="1:18" ht="15.75" customHeight="1" x14ac:dyDescent="0.2"/>
    <row r="24" spans="1:18" ht="15.75" customHeight="1" x14ac:dyDescent="0.2"/>
    <row r="25" spans="1:18" ht="15.75" customHeight="1" x14ac:dyDescent="0.2"/>
    <row r="26" spans="1:18" ht="15.75" customHeight="1" x14ac:dyDescent="0.2"/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spans="2:18" ht="15.75" customHeight="1" x14ac:dyDescent="0.2"/>
    <row r="50" spans="2:18" ht="15.75" customHeight="1" x14ac:dyDescent="0.2"/>
    <row r="51" spans="2:18" ht="15.75" customHeight="1" x14ac:dyDescent="0.2"/>
    <row r="52" spans="2:18" ht="15.75" customHeight="1" x14ac:dyDescent="0.2"/>
    <row r="53" spans="2:18" ht="15.75" customHeight="1" x14ac:dyDescent="0.2"/>
    <row r="54" spans="2:18" ht="15.75" customHeight="1" x14ac:dyDescent="0.2"/>
    <row r="55" spans="2:18" ht="21.75" customHeight="1" x14ac:dyDescent="0.2">
      <c r="B55" s="42" t="s">
        <v>54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</row>
    <row r="56" spans="2:18" ht="15.75" customHeight="1" x14ac:dyDescent="0.2"/>
    <row r="57" spans="2:18" ht="15.75" customHeight="1" x14ac:dyDescent="0.2">
      <c r="B57" s="43" t="s">
        <v>55</v>
      </c>
      <c r="C57" s="43"/>
      <c r="D57" s="43"/>
      <c r="E57" s="43"/>
      <c r="F57" s="43"/>
      <c r="G57" s="44" t="s">
        <v>56</v>
      </c>
      <c r="H57" s="44"/>
      <c r="I57" s="44"/>
      <c r="J57" s="44"/>
      <c r="K57" s="44"/>
      <c r="L57" s="45" t="s">
        <v>57</v>
      </c>
      <c r="M57" s="45"/>
      <c r="N57" s="45"/>
      <c r="O57" s="45"/>
      <c r="P57" s="45"/>
      <c r="Q57" s="45"/>
      <c r="R57" s="45"/>
    </row>
    <row r="58" spans="2:18" ht="15.75" customHeight="1" x14ac:dyDescent="0.2">
      <c r="B58" s="43"/>
      <c r="C58" s="43"/>
      <c r="D58" s="43"/>
      <c r="E58" s="43"/>
      <c r="F58" s="43"/>
      <c r="G58" s="44"/>
      <c r="H58" s="44"/>
      <c r="I58" s="44"/>
      <c r="J58" s="44"/>
      <c r="K58" s="44"/>
      <c r="L58" s="45"/>
      <c r="M58" s="45"/>
      <c r="N58" s="45"/>
      <c r="O58" s="45"/>
      <c r="P58" s="45"/>
      <c r="Q58" s="45"/>
      <c r="R58" s="45"/>
    </row>
    <row r="59" spans="2:18" ht="15.75" customHeight="1" x14ac:dyDescent="0.2">
      <c r="B59" s="46" t="str">
        <f>Calculations!B11</f>
        <v>Creator K</v>
      </c>
      <c r="C59" s="46"/>
      <c r="D59" s="46"/>
      <c r="E59" s="46"/>
      <c r="F59" s="46"/>
      <c r="G59" s="47">
        <f>Calculations!B12</f>
        <v>0</v>
      </c>
      <c r="H59" s="47"/>
      <c r="I59" s="47"/>
      <c r="J59" s="47"/>
      <c r="K59" s="47"/>
      <c r="L59" s="48" t="s">
        <v>14</v>
      </c>
      <c r="M59" s="48"/>
      <c r="N59" s="48"/>
      <c r="O59" s="48"/>
      <c r="P59" s="48"/>
      <c r="Q59" s="48"/>
      <c r="R59" s="48"/>
    </row>
    <row r="60" spans="2:18" ht="15.75" customHeight="1" x14ac:dyDescent="0.2">
      <c r="B60" s="46"/>
      <c r="C60" s="46"/>
      <c r="D60" s="46"/>
      <c r="E60" s="46"/>
      <c r="F60" s="46"/>
      <c r="G60" s="47"/>
      <c r="H60" s="47"/>
      <c r="I60" s="47"/>
      <c r="J60" s="47"/>
      <c r="K60" s="47"/>
      <c r="L60" s="48"/>
      <c r="M60" s="48"/>
      <c r="N60" s="48"/>
      <c r="O60" s="48"/>
      <c r="P60" s="48"/>
      <c r="Q60" s="48"/>
      <c r="R60" s="48"/>
    </row>
    <row r="61" spans="2:18" ht="15.75" customHeight="1" x14ac:dyDescent="0.2">
      <c r="B61" s="49" t="s">
        <v>58</v>
      </c>
      <c r="C61" s="49"/>
      <c r="D61" s="49"/>
      <c r="E61" s="49"/>
      <c r="F61" s="49"/>
      <c r="G61" s="49" t="s">
        <v>59</v>
      </c>
      <c r="H61" s="49"/>
      <c r="I61" s="49"/>
      <c r="J61" s="49"/>
      <c r="K61" s="49"/>
      <c r="L61" s="49" t="s">
        <v>60</v>
      </c>
      <c r="M61" s="49"/>
      <c r="N61" s="49"/>
      <c r="O61" s="49"/>
      <c r="P61" s="49"/>
      <c r="Q61" s="49"/>
      <c r="R61" s="49"/>
    </row>
    <row r="62" spans="2:18" ht="15.75" customHeight="1" x14ac:dyDescent="0.2"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2:18" ht="15.75" customHeight="1" x14ac:dyDescent="0.2"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2:18" ht="15.75" customHeight="1" x14ac:dyDescent="0.2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2:18" ht="15.75" customHeight="1" x14ac:dyDescent="0.2"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2:18" ht="15.75" customHeight="1" x14ac:dyDescent="0.2"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2:18" ht="15.75" customHeight="1" x14ac:dyDescent="0.2"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2:18" ht="15.75" customHeight="1" x14ac:dyDescent="0.2"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2:18" ht="15.75" customHeight="1" x14ac:dyDescent="0.2"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2:18" ht="15.75" customHeight="1" x14ac:dyDescent="0.2"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2:18" ht="15.75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2:18" ht="15.75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2:18" ht="15.75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2:18" ht="15.75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2:18" ht="15.75" customHeight="1" x14ac:dyDescent="0.2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ht="15.75" customHeight="1" x14ac:dyDescent="0.2"/>
    <row r="77" spans="2:18" ht="15.75" customHeight="1" x14ac:dyDescent="0.2"/>
    <row r="78" spans="2:18" ht="15.75" customHeight="1" x14ac:dyDescent="0.2"/>
    <row r="79" spans="2:18" ht="15.75" customHeight="1" x14ac:dyDescent="0.2"/>
  </sheetData>
  <mergeCells count="44">
    <mergeCell ref="B71:R71"/>
    <mergeCell ref="B72:R72"/>
    <mergeCell ref="B73:R73"/>
    <mergeCell ref="B74:R74"/>
    <mergeCell ref="B75:R75"/>
    <mergeCell ref="B59:F60"/>
    <mergeCell ref="G59:K60"/>
    <mergeCell ref="L59:R60"/>
    <mergeCell ref="B61:F70"/>
    <mergeCell ref="G61:K70"/>
    <mergeCell ref="L61:R70"/>
    <mergeCell ref="B16:R16"/>
    <mergeCell ref="B17:R17"/>
    <mergeCell ref="B55:R55"/>
    <mergeCell ref="B57:F58"/>
    <mergeCell ref="G57:K58"/>
    <mergeCell ref="L57:R58"/>
    <mergeCell ref="B12:E12"/>
    <mergeCell ref="F12:I12"/>
    <mergeCell ref="J12:M12"/>
    <mergeCell ref="N12:R12"/>
    <mergeCell ref="B13:E15"/>
    <mergeCell ref="F13:I15"/>
    <mergeCell ref="J13:M15"/>
    <mergeCell ref="N13:R15"/>
    <mergeCell ref="B10:E10"/>
    <mergeCell ref="F10:I10"/>
    <mergeCell ref="J10:M10"/>
    <mergeCell ref="N10:R10"/>
    <mergeCell ref="B11:R11"/>
    <mergeCell ref="B6:E6"/>
    <mergeCell ref="F6:I6"/>
    <mergeCell ref="J6:M6"/>
    <mergeCell ref="N6:R6"/>
    <mergeCell ref="B7:E9"/>
    <mergeCell ref="F7:I9"/>
    <mergeCell ref="J7:M9"/>
    <mergeCell ref="N7:R9"/>
    <mergeCell ref="B1:R3"/>
    <mergeCell ref="B4:R4"/>
    <mergeCell ref="B5:E5"/>
    <mergeCell ref="F5:I5"/>
    <mergeCell ref="J5:M5"/>
    <mergeCell ref="N5:R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A623"/>
  </sheetPr>
  <dimension ref="B1:C23"/>
  <sheetViews>
    <sheetView showGridLines="0" topLeftCell="B6" zoomScaleNormal="100" workbookViewId="0"/>
  </sheetViews>
  <sheetFormatPr baseColWidth="10" defaultColWidth="8.6640625" defaultRowHeight="15" x14ac:dyDescent="0.2"/>
  <cols>
    <col min="1" max="1" width="2" customWidth="1"/>
    <col min="2" max="2" width="28" customWidth="1"/>
    <col min="3" max="3" width="60" customWidth="1"/>
  </cols>
  <sheetData>
    <row r="1" spans="2:3" ht="21.75" customHeight="1" x14ac:dyDescent="0.2">
      <c r="B1" s="50" t="s">
        <v>61</v>
      </c>
      <c r="C1" s="50"/>
    </row>
    <row r="2" spans="2:3" ht="21.75" customHeight="1" x14ac:dyDescent="0.2">
      <c r="B2" s="51" t="s">
        <v>62</v>
      </c>
      <c r="C2" s="51"/>
    </row>
    <row r="3" spans="2:3" ht="39.75" customHeight="1" x14ac:dyDescent="0.2">
      <c r="B3" s="35" t="s">
        <v>63</v>
      </c>
      <c r="C3" s="36" t="s">
        <v>64</v>
      </c>
    </row>
    <row r="4" spans="2:3" ht="21.75" customHeight="1" x14ac:dyDescent="0.2">
      <c r="B4" s="51" t="s">
        <v>65</v>
      </c>
      <c r="C4" s="51"/>
    </row>
    <row r="5" spans="2:3" ht="19.5" customHeight="1" x14ac:dyDescent="0.2">
      <c r="B5" s="35" t="s">
        <v>66</v>
      </c>
      <c r="C5" s="36" t="s">
        <v>67</v>
      </c>
    </row>
    <row r="6" spans="2:3" ht="39.75" customHeight="1" x14ac:dyDescent="0.2">
      <c r="B6" s="35" t="s">
        <v>68</v>
      </c>
      <c r="C6" s="36" t="s">
        <v>69</v>
      </c>
    </row>
    <row r="7" spans="2:3" ht="21.75" customHeight="1" x14ac:dyDescent="0.2">
      <c r="B7" s="51" t="s">
        <v>70</v>
      </c>
      <c r="C7" s="51"/>
    </row>
    <row r="8" spans="2:3" ht="19.5" customHeight="1" x14ac:dyDescent="0.2">
      <c r="B8" s="35" t="s">
        <v>8</v>
      </c>
      <c r="C8" s="36" t="s">
        <v>71</v>
      </c>
    </row>
    <row r="9" spans="2:3" ht="19.5" customHeight="1" x14ac:dyDescent="0.2">
      <c r="B9" s="35" t="s">
        <v>72</v>
      </c>
      <c r="C9" s="36" t="s">
        <v>73</v>
      </c>
    </row>
    <row r="10" spans="2:3" ht="19.5" customHeight="1" x14ac:dyDescent="0.2">
      <c r="B10" s="35" t="s">
        <v>10</v>
      </c>
      <c r="C10" s="36" t="s">
        <v>74</v>
      </c>
    </row>
    <row r="11" spans="2:3" ht="19.5" customHeight="1" x14ac:dyDescent="0.2">
      <c r="B11" s="35" t="s">
        <v>11</v>
      </c>
      <c r="C11" s="36" t="s">
        <v>75</v>
      </c>
    </row>
    <row r="12" spans="2:3" ht="19.5" customHeight="1" x14ac:dyDescent="0.2">
      <c r="B12" s="35" t="s">
        <v>76</v>
      </c>
      <c r="C12" s="36" t="s">
        <v>77</v>
      </c>
    </row>
    <row r="13" spans="2:3" ht="21.75" customHeight="1" x14ac:dyDescent="0.2">
      <c r="B13" s="51" t="s">
        <v>78</v>
      </c>
      <c r="C13" s="51"/>
    </row>
    <row r="14" spans="2:3" ht="39.75" customHeight="1" x14ac:dyDescent="0.2">
      <c r="B14" s="35" t="s">
        <v>79</v>
      </c>
      <c r="C14" s="36" t="s">
        <v>80</v>
      </c>
    </row>
    <row r="15" spans="2:3" ht="21.75" customHeight="1" x14ac:dyDescent="0.2">
      <c r="B15" s="51" t="s">
        <v>81</v>
      </c>
      <c r="C15" s="51"/>
    </row>
    <row r="16" spans="2:3" ht="39.75" customHeight="1" x14ac:dyDescent="0.2">
      <c r="B16" s="35" t="s">
        <v>82</v>
      </c>
      <c r="C16" s="36" t="s">
        <v>83</v>
      </c>
    </row>
    <row r="17" spans="2:3" ht="39.75" customHeight="1" x14ac:dyDescent="0.2">
      <c r="B17" s="35" t="s">
        <v>84</v>
      </c>
      <c r="C17" s="36" t="s">
        <v>85</v>
      </c>
    </row>
    <row r="18" spans="2:3" ht="39.75" customHeight="1" x14ac:dyDescent="0.2">
      <c r="B18" s="35" t="s">
        <v>86</v>
      </c>
      <c r="C18" s="36" t="s">
        <v>87</v>
      </c>
    </row>
    <row r="19" spans="2:3" ht="21.75" customHeight="1" x14ac:dyDescent="0.2">
      <c r="B19" s="51" t="s">
        <v>88</v>
      </c>
      <c r="C19" s="51"/>
    </row>
    <row r="20" spans="2:3" ht="19.5" customHeight="1" x14ac:dyDescent="0.2">
      <c r="B20" s="35" t="s">
        <v>89</v>
      </c>
      <c r="C20" s="36" t="s">
        <v>90</v>
      </c>
    </row>
    <row r="21" spans="2:3" ht="19.5" customHeight="1" x14ac:dyDescent="0.2">
      <c r="B21" s="35" t="s">
        <v>91</v>
      </c>
      <c r="C21" s="36" t="s">
        <v>92</v>
      </c>
    </row>
    <row r="22" spans="2:3" ht="19.5" customHeight="1" x14ac:dyDescent="0.2">
      <c r="B22" s="35" t="s">
        <v>93</v>
      </c>
      <c r="C22" s="36" t="s">
        <v>94</v>
      </c>
    </row>
    <row r="23" spans="2:3" ht="19.5" customHeight="1" x14ac:dyDescent="0.2">
      <c r="B23" s="35" t="s">
        <v>95</v>
      </c>
      <c r="C23" s="36" t="s">
        <v>96</v>
      </c>
    </row>
  </sheetData>
  <mergeCells count="7">
    <mergeCell ref="B15:C15"/>
    <mergeCell ref="B19:C19"/>
    <mergeCell ref="B1:C1"/>
    <mergeCell ref="B2:C2"/>
    <mergeCell ref="B4:C4"/>
    <mergeCell ref="B7:C7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Calculations</vt:lpstr>
      <vt:lpstr>Dashboard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</cp:revision>
  <dcterms:created xsi:type="dcterms:W3CDTF">2026-04-08T04:39:39Z</dcterms:created>
  <dcterms:modified xsi:type="dcterms:W3CDTF">2026-04-08T04:54:27Z</dcterms:modified>
  <dc:language>en-US</dc:language>
</cp:coreProperties>
</file>